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verm\OneDrive\Documents\AICW\Lab\"/>
    </mc:Choice>
  </mc:AlternateContent>
  <xr:revisionPtr revIDLastSave="0" documentId="13_ncr:1_{E8037678-D632-4491-99C8-642AB33FD266}" xr6:coauthVersionLast="47" xr6:coauthVersionMax="47" xr10:uidLastSave="{00000000-0000-0000-0000-000000000000}"/>
  <bookViews>
    <workbookView xWindow="-108" yWindow="-108" windowWidth="23256" windowHeight="12456" xr2:uid="{2935B236-AC95-4975-87B4-4AA35AF65554}"/>
  </bookViews>
  <sheets>
    <sheet name="attendance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<sst xmlns="http://schemas.openxmlformats.org/spreadsheetml/2006/main" count="385" uniqueCount="45">
  <si>
    <t>Student</t>
  </si>
  <si>
    <t>Date</t>
  </si>
  <si>
    <t>Status</t>
  </si>
  <si>
    <t>Weekday</t>
  </si>
  <si>
    <t>PresentFlag</t>
  </si>
  <si>
    <t>Email</t>
  </si>
  <si>
    <t>Aisha</t>
  </si>
  <si>
    <t>2025-07-01</t>
  </si>
  <si>
    <t>Present</t>
  </si>
  <si>
    <t>Tue</t>
  </si>
  <si>
    <t>aisha@example.com</t>
  </si>
  <si>
    <t>2025-07-02</t>
  </si>
  <si>
    <t>Wed</t>
  </si>
  <si>
    <t>Rohit</t>
  </si>
  <si>
    <t>rohit@example.com</t>
  </si>
  <si>
    <t>2025-07-03</t>
  </si>
  <si>
    <t>Thu</t>
  </si>
  <si>
    <t>Ayesha</t>
  </si>
  <si>
    <t>ayesha@example.com</t>
  </si>
  <si>
    <t>2025-07-04</t>
  </si>
  <si>
    <t>Fri</t>
  </si>
  <si>
    <t>Meera</t>
  </si>
  <si>
    <t>meera@example.com</t>
  </si>
  <si>
    <t>2025-07-07</t>
  </si>
  <si>
    <t>Mon</t>
  </si>
  <si>
    <t>2025-07-08</t>
  </si>
  <si>
    <t>2025-07-09</t>
  </si>
  <si>
    <t>Absent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</si>
  <si>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</si>
  <si>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</si>
  <si>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</si>
  <si>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</si>
  <si>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</si>
  <si>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</si>
  <si>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</si>
  <si>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</si>
  <si>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</si>
  <si>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</si>
  <si>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</si>
  <si>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</si>
  <si>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</si>
  <si>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</si>
  <si>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</si>
  <si>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</si>
  <si>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 xml:space="preserve">Note:Create a Student Dictionary table for Email id and use Vlookup in column F to add Email id in main Attendance Table.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</si>
</sst>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</font>
    <font>
      <sz val="11"/>
      <color theme="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1" applyFont="1" applyFill="1" applyBorder="1"/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ill>
        <patternFill patternType="solid">
          <fgColor rgb="FFF2DCDB"/>
          <bgColor rgb="FFF2DCDB"/>
        </patternFill>
      </fill>
    </dxf>
    <dxf>
      <fill>
        <patternFill patternType="solid">
          <fgColor rgb="FFF2DCDB"/>
          <bgColor rgb="FFF2DCDB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C0504D"/>
        </top>
      </border>
    </dxf>
    <dxf>
      <font>
        <b/>
        <color rgb="FFFFFFFF"/>
      </font>
      <fill>
        <patternFill patternType="solid">
          <fgColor rgb="FFC0504D"/>
          <bgColor rgb="FFC0504D"/>
        </patternFill>
      </fill>
    </dxf>
    <dxf>
      <font>
        <color rgb="FF000000"/>
      </font>
      <border>
        <left style="thin">
          <color rgb="FFDA9694"/>
        </left>
        <right style="thin">
          <color rgb="FFDA9694"/>
        </right>
        <top style="thin">
          <color rgb="FFDA9694"/>
        </top>
        <bottom style="thin">
          <color rgb="FFDA9694"/>
        </bottom>
        <horizontal style="thin">
          <color rgb="FFDA9694"/>
        </horizontal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2" defaultTableStyle="TableStyleMedium2" defaultPivotStyle="PivotStyleLight16">
    <tableStyle name="TableStyleMedium2 2" pivot="0" count="7" xr9:uid="{83988540-AC32-4718-BB91-84EA155F38B4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TableStyleMedium3 2" pivot="0" count="7" xr9:uid="{83E63CCC-A3F8-49D0-968F-D5257803AA31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A6D1E-5849-48A1-AEF1-64FF660075CF}" name="AttendanceT" displayName="AttendanceT" ref="A1:F93">
  <autoFilter ref="A1:F93" xr:uid="{87FA6D1E-5849-48A1-AEF1-64FF660075CF}"/>
  <sortState xmlns:xlrd2="http://schemas.microsoft.com/office/spreadsheetml/2017/richdata2" ref="A2:E93">
    <sortCondition ref="A1:A93"/>
  </sortState>
  <tableColumns count="6">
    <tableColumn id="1" xr3:uid="{BDF7E623-DE92-422A-8A11-27883CD8EAFC}" name="Student"/>
    <tableColumn id="2" xr3:uid="{E3E7463C-D2F1-4D91-8DF6-CE691416C38E}" name="Date"/>
    <tableColumn id="3" xr3:uid="{90DF757D-DF1F-4C45-A726-7E3041742AC4}" name="Status"/>
    <tableColumn id="4" xr3:uid="{9A57B67D-49B9-4029-8DEB-6DECFE602E76}" name="Weekday"/>
    <tableColumn id="5" xr3:uid="{B15D6696-C988-4C3B-A4A3-4A4270DC5AD2}" name="PresentFlag">
      <calculatedColumnFormula>IF(C2="Present",1,0)</calculatedColumnFormula>
    </tableColumn>
    <tableColumn id="6" xr3:uid="{DFADBA29-3C51-45B8-B9C0-D66556E1D60A}" name="Email" dataDxfId="0">
      <calculatedColumnFormula>VLOOKUP(AttendanceT[[#This Row],[Student]],StudentDirectory[#All],2,FALSE)</calculatedColumnFormula>
    </tableColumn>
  </tableColumns>
  <tableStyleInfo name="TableStyleMedium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1DE9F-C22E-432B-A81E-6F0E20493A65}" name="StudentDirectory" displayName="StudentDirectory" ref="H1:I5">
  <autoFilter ref="H1:I5" xr:uid="{0C81DE9F-C22E-432B-A81E-6F0E20493A65}"/>
  <tableColumns count="2">
    <tableColumn id="10" xr3:uid="{1280AF86-4380-41BF-9B01-477490AA976D}" name="Student"/>
    <tableColumn id="11" xr3:uid="{5036AC63-79B1-4CCA-995F-44E3F146A258}" name="Email"/>
  </tableColumns>
  <tableStyleInfo name="TableStyleMedium3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ra@example.com" TargetMode="External"/><Relationship Id="rId2" Type="http://schemas.openxmlformats.org/officeDocument/2006/relationships/hyperlink" Target="mailto:ayesha@example.com" TargetMode="External"/><Relationship Id="rId1" Type="http://schemas.openxmlformats.org/officeDocument/2006/relationships/hyperlink" Target="mailto:aisha@example.com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021D-9CCA-4749-B16A-53AC1EC5A063}">
  <dimension ref="A1:AB101"/>
  <sheetViews>
    <sheetView tabSelected="1" workbookViewId="0">
      <selection activeCell="H23" sqref="H23"/>
    </sheetView>
  </sheetViews>
  <sheetFormatPr defaultRowHeight="14.4" x14ac:dyDescent="0.3"/>
  <cols>
    <col min="1" max="1" width="13" bestFit="1" customWidth="1"/>
    <col min="2" max="2" width="10.33203125" bestFit="1" customWidth="1"/>
    <col min="3" max="3" width="11.5546875" bestFit="1" customWidth="1"/>
    <col min="4" max="4" width="14.44140625" bestFit="1" customWidth="1"/>
    <col min="5" max="5" width="17.109375" bestFit="1" customWidth="1"/>
    <col min="6" max="6" width="20.77734375" customWidth="1"/>
    <col min="8" max="8" width="21.88671875" customWidth="1"/>
    <col min="9" max="9" width="20.66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 t="s">
        <v>0</v>
      </c>
      <c r="I1" s="2" t="s">
        <v>5</v>
      </c>
      <c r="J1" s="2"/>
      <c r="K1" s="2" t="s">
        <v>44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f t="shared" ref="E2:E65" si="0">IF(C2="Present",1,0)</f>
        <v>1</v>
      </c>
      <c r="F2" s="2" t="str">
        <f>VLOOKUP(AttendanceT[[#This Row],[Student]],StudentDirectory[#All],2,FALSE)</f>
        <v>aisha@example.com</v>
      </c>
      <c r="G2" s="2"/>
      <c r="H2" s="2" t="s">
        <v>6</v>
      </c>
      <c r="I2" s="3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">
      <c r="A3" s="2" t="s">
        <v>6</v>
      </c>
      <c r="B3" s="2" t="s">
        <v>11</v>
      </c>
      <c r="C3" s="2" t="s">
        <v>8</v>
      </c>
      <c r="D3" s="2" t="s">
        <v>12</v>
      </c>
      <c r="E3" s="2">
        <f t="shared" si="0"/>
        <v>1</v>
      </c>
      <c r="F3" s="2" t="str">
        <f>VLOOKUP(AttendanceT[[#This Row],[Student]],StudentDirectory[#All],2,FALSE)</f>
        <v>aisha@example.com</v>
      </c>
      <c r="G3" s="2"/>
      <c r="H3" s="2" t="s">
        <v>13</v>
      </c>
      <c r="I3" s="2" t="s">
        <v>14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">
      <c r="A4" s="2" t="s">
        <v>6</v>
      </c>
      <c r="B4" s="2" t="s">
        <v>15</v>
      </c>
      <c r="C4" s="2" t="s">
        <v>8</v>
      </c>
      <c r="D4" s="2" t="s">
        <v>16</v>
      </c>
      <c r="E4" s="2">
        <f t="shared" si="0"/>
        <v>1</v>
      </c>
      <c r="F4" s="2" t="str">
        <f>VLOOKUP(AttendanceT[[#This Row],[Student]],StudentDirectory[#All],2,FALSE)</f>
        <v>aisha@example.com</v>
      </c>
      <c r="G4" s="2"/>
      <c r="H4" s="2" t="s">
        <v>17</v>
      </c>
      <c r="I4" s="3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3">
      <c r="A5" s="2" t="s">
        <v>6</v>
      </c>
      <c r="B5" s="2" t="s">
        <v>19</v>
      </c>
      <c r="C5" s="2" t="s">
        <v>8</v>
      </c>
      <c r="D5" s="2" t="s">
        <v>20</v>
      </c>
      <c r="E5" s="2">
        <f t="shared" si="0"/>
        <v>1</v>
      </c>
      <c r="F5" s="2" t="str">
        <f>VLOOKUP(AttendanceT[[#This Row],[Student]],StudentDirectory[#All],2,FALSE)</f>
        <v>aisha@example.com</v>
      </c>
      <c r="G5" s="2"/>
      <c r="H5" s="2" t="s">
        <v>21</v>
      </c>
      <c r="I5" s="3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3">
      <c r="A6" s="2" t="s">
        <v>6</v>
      </c>
      <c r="B6" s="2" t="s">
        <v>23</v>
      </c>
      <c r="C6" s="2" t="s">
        <v>8</v>
      </c>
      <c r="D6" s="2" t="s">
        <v>24</v>
      </c>
      <c r="E6" s="2">
        <f>IF(C6="Present",1,0)</f>
        <v>1</v>
      </c>
      <c r="F6" s="2" t="str">
        <f>VLOOKUP(AttendanceT[[#This Row],[Student]],StudentDirectory[#All],2,FALSE)</f>
        <v>aisha@example.com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3">
      <c r="A7" s="2" t="s">
        <v>6</v>
      </c>
      <c r="B7" s="2" t="s">
        <v>25</v>
      </c>
      <c r="C7" s="2" t="s">
        <v>8</v>
      </c>
      <c r="D7" s="2" t="s">
        <v>9</v>
      </c>
      <c r="E7" s="2">
        <f t="shared" si="0"/>
        <v>1</v>
      </c>
      <c r="F7" s="2" t="str">
        <f>VLOOKUP(AttendanceT[[#This Row],[Student]],StudentDirectory[#All],2,FALSE)</f>
        <v>aisha@example.com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3">
      <c r="A8" s="2" t="s">
        <v>6</v>
      </c>
      <c r="B8" s="2" t="s">
        <v>26</v>
      </c>
      <c r="C8" s="2" t="s">
        <v>27</v>
      </c>
      <c r="D8" s="2" t="s">
        <v>12</v>
      </c>
      <c r="E8" s="2">
        <f t="shared" si="0"/>
        <v>0</v>
      </c>
      <c r="F8" s="2" t="str">
        <f>VLOOKUP(AttendanceT[[#This Row],[Student]],StudentDirectory[#All],2,FALSE)</f>
        <v>aisha@example.com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3">
      <c r="A9" s="2" t="s">
        <v>6</v>
      </c>
      <c r="B9" s="2" t="s">
        <v>28</v>
      </c>
      <c r="C9" s="2" t="s">
        <v>8</v>
      </c>
      <c r="D9" s="2" t="s">
        <v>16</v>
      </c>
      <c r="E9" s="2">
        <f t="shared" si="0"/>
        <v>1</v>
      </c>
      <c r="F9" s="2" t="str">
        <f>VLOOKUP(AttendanceT[[#This Row],[Student]],StudentDirectory[#All],2,FALSE)</f>
        <v>aisha@example.com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">
      <c r="A10" s="2" t="s">
        <v>6</v>
      </c>
      <c r="B10" s="2" t="s">
        <v>29</v>
      </c>
      <c r="C10" s="2" t="s">
        <v>27</v>
      </c>
      <c r="D10" s="2" t="s">
        <v>20</v>
      </c>
      <c r="E10" s="2">
        <f t="shared" si="0"/>
        <v>0</v>
      </c>
      <c r="F10" s="2" t="str">
        <f>VLOOKUP(AttendanceT[[#This Row],[Student]],StudentDirectory[#All],2,FALSE)</f>
        <v>aisha@example.com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">
      <c r="A11" s="2" t="s">
        <v>6</v>
      </c>
      <c r="B11" s="2" t="s">
        <v>30</v>
      </c>
      <c r="C11" s="2" t="s">
        <v>8</v>
      </c>
      <c r="D11" s="2" t="s">
        <v>24</v>
      </c>
      <c r="E11" s="2">
        <f t="shared" si="0"/>
        <v>1</v>
      </c>
      <c r="F11" s="2" t="str">
        <f>VLOOKUP(AttendanceT[[#This Row],[Student]],StudentDirectory[#All],2,FALSE)</f>
        <v>aisha@example.com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">
      <c r="A12" s="2" t="s">
        <v>6</v>
      </c>
      <c r="B12" s="2" t="s">
        <v>31</v>
      </c>
      <c r="C12" s="2" t="s">
        <v>8</v>
      </c>
      <c r="D12" s="2" t="s">
        <v>9</v>
      </c>
      <c r="E12" s="2">
        <f t="shared" si="0"/>
        <v>1</v>
      </c>
      <c r="F12" s="2" t="str">
        <f>VLOOKUP(AttendanceT[[#This Row],[Student]],StudentDirectory[#All],2,FALSE)</f>
        <v>aisha@example.com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3">
      <c r="A13" s="2" t="s">
        <v>6</v>
      </c>
      <c r="B13" s="2" t="s">
        <v>32</v>
      </c>
      <c r="C13" s="2" t="s">
        <v>8</v>
      </c>
      <c r="D13" s="2" t="s">
        <v>12</v>
      </c>
      <c r="E13" s="2">
        <f t="shared" si="0"/>
        <v>1</v>
      </c>
      <c r="F13" s="2" t="str">
        <f>VLOOKUP(AttendanceT[[#This Row],[Student]],StudentDirectory[#All],2,FALSE)</f>
        <v>aisha@example.com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">
      <c r="A14" s="2" t="s">
        <v>6</v>
      </c>
      <c r="B14" s="2" t="s">
        <v>33</v>
      </c>
      <c r="C14" s="2" t="s">
        <v>8</v>
      </c>
      <c r="D14" s="2" t="s">
        <v>16</v>
      </c>
      <c r="E14" s="2">
        <f t="shared" si="0"/>
        <v>1</v>
      </c>
      <c r="F14" s="2" t="str">
        <f>VLOOKUP(AttendanceT[[#This Row],[Student]],StudentDirectory[#All],2,FALSE)</f>
        <v>aisha@example.com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3">
      <c r="A15" s="2" t="s">
        <v>6</v>
      </c>
      <c r="B15" s="2" t="s">
        <v>34</v>
      </c>
      <c r="C15" s="2" t="s">
        <v>27</v>
      </c>
      <c r="D15" s="2" t="s">
        <v>20</v>
      </c>
      <c r="E15" s="2">
        <f t="shared" si="0"/>
        <v>0</v>
      </c>
      <c r="F15" s="2" t="str">
        <f>VLOOKUP(AttendanceT[[#This Row],[Student]],StudentDirectory[#All],2,FALSE)</f>
        <v>aisha@example.com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3">
      <c r="A16" s="2" t="s">
        <v>6</v>
      </c>
      <c r="B16" s="2" t="s">
        <v>35</v>
      </c>
      <c r="C16" s="2" t="s">
        <v>8</v>
      </c>
      <c r="D16" s="2" t="s">
        <v>24</v>
      </c>
      <c r="E16" s="2">
        <f t="shared" si="0"/>
        <v>1</v>
      </c>
      <c r="F16" s="2" t="str">
        <f>VLOOKUP(AttendanceT[[#This Row],[Student]],StudentDirectory[#All],2,FALSE)</f>
        <v>aisha@example.com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3">
      <c r="A17" s="2" t="s">
        <v>6</v>
      </c>
      <c r="B17" s="2" t="s">
        <v>36</v>
      </c>
      <c r="C17" s="2" t="s">
        <v>8</v>
      </c>
      <c r="D17" s="2" t="s">
        <v>9</v>
      </c>
      <c r="E17" s="2">
        <f t="shared" si="0"/>
        <v>1</v>
      </c>
      <c r="F17" s="2" t="str">
        <f>VLOOKUP(AttendanceT[[#This Row],[Student]],StudentDirectory[#All],2,FALSE)</f>
        <v>aisha@example.com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">
      <c r="A18" s="2" t="s">
        <v>6</v>
      </c>
      <c r="B18" s="2" t="s">
        <v>37</v>
      </c>
      <c r="C18" s="2" t="s">
        <v>8</v>
      </c>
      <c r="D18" s="2" t="s">
        <v>12</v>
      </c>
      <c r="E18" s="2">
        <f t="shared" si="0"/>
        <v>1</v>
      </c>
      <c r="F18" s="2" t="str">
        <f>VLOOKUP(AttendanceT[[#This Row],[Student]],StudentDirectory[#All],2,FALSE)</f>
        <v>aisha@example.com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3">
      <c r="A19" s="2" t="s">
        <v>6</v>
      </c>
      <c r="B19" s="2" t="s">
        <v>38</v>
      </c>
      <c r="C19" s="2" t="s">
        <v>27</v>
      </c>
      <c r="D19" s="2" t="s">
        <v>16</v>
      </c>
      <c r="E19" s="2">
        <f t="shared" si="0"/>
        <v>0</v>
      </c>
      <c r="F19" s="2" t="str">
        <f>VLOOKUP(AttendanceT[[#This Row],[Student]],StudentDirectory[#All],2,FALSE)</f>
        <v>aisha@example.com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3">
      <c r="A20" s="2" t="s">
        <v>6</v>
      </c>
      <c r="B20" s="2" t="s">
        <v>39</v>
      </c>
      <c r="C20" s="2" t="s">
        <v>27</v>
      </c>
      <c r="D20" s="2" t="s">
        <v>20</v>
      </c>
      <c r="E20" s="2">
        <f t="shared" si="0"/>
        <v>0</v>
      </c>
      <c r="F20" s="2" t="str">
        <f>VLOOKUP(AttendanceT[[#This Row],[Student]],StudentDirectory[#All],2,FALSE)</f>
        <v>aisha@example.com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">
      <c r="A21" s="2" t="s">
        <v>6</v>
      </c>
      <c r="B21" s="2" t="s">
        <v>40</v>
      </c>
      <c r="C21" s="2" t="s">
        <v>8</v>
      </c>
      <c r="D21" s="2" t="s">
        <v>24</v>
      </c>
      <c r="E21" s="2">
        <f t="shared" si="0"/>
        <v>1</v>
      </c>
      <c r="F21" s="2" t="str">
        <f>VLOOKUP(AttendanceT[[#This Row],[Student]],StudentDirectory[#All],2,FALSE)</f>
        <v>aisha@example.com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">
      <c r="A22" s="2" t="s">
        <v>6</v>
      </c>
      <c r="B22" s="2" t="s">
        <v>41</v>
      </c>
      <c r="C22" s="2" t="s">
        <v>8</v>
      </c>
      <c r="D22" s="2" t="s">
        <v>9</v>
      </c>
      <c r="E22" s="2">
        <f t="shared" si="0"/>
        <v>1</v>
      </c>
      <c r="F22" s="2" t="str">
        <f>VLOOKUP(AttendanceT[[#This Row],[Student]],StudentDirectory[#All],2,FALSE)</f>
        <v>aisha@example.com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3">
      <c r="A23" s="2" t="s">
        <v>6</v>
      </c>
      <c r="B23" s="2" t="s">
        <v>42</v>
      </c>
      <c r="C23" s="2" t="s">
        <v>27</v>
      </c>
      <c r="D23" s="2" t="s">
        <v>12</v>
      </c>
      <c r="E23" s="2">
        <f t="shared" si="0"/>
        <v>0</v>
      </c>
      <c r="F23" s="2" t="str">
        <f>VLOOKUP(AttendanceT[[#This Row],[Student]],StudentDirectory[#All],2,FALSE)</f>
        <v>aisha@example.com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">
      <c r="A24" s="2" t="s">
        <v>6</v>
      </c>
      <c r="B24" s="2" t="s">
        <v>43</v>
      </c>
      <c r="C24" s="2" t="s">
        <v>8</v>
      </c>
      <c r="D24" s="2" t="s">
        <v>16</v>
      </c>
      <c r="E24" s="2">
        <f t="shared" si="0"/>
        <v>1</v>
      </c>
      <c r="F24" s="2" t="str">
        <f>VLOOKUP(AttendanceT[[#This Row],[Student]],StudentDirectory[#All],2,FALSE)</f>
        <v>aisha@example.com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">
      <c r="A25" s="2" t="s">
        <v>17</v>
      </c>
      <c r="B25" s="2" t="s">
        <v>7</v>
      </c>
      <c r="C25" s="2" t="s">
        <v>8</v>
      </c>
      <c r="D25" s="2" t="s">
        <v>9</v>
      </c>
      <c r="E25" s="2">
        <f t="shared" si="0"/>
        <v>1</v>
      </c>
      <c r="F25" s="2" t="str">
        <f>VLOOKUP(AttendanceT[[#This Row],[Student]],StudentDirectory[#All],2,FALSE)</f>
        <v>ayesha@example.com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">
      <c r="A26" s="2" t="s">
        <v>17</v>
      </c>
      <c r="B26" s="2" t="s">
        <v>11</v>
      </c>
      <c r="C26" s="2" t="s">
        <v>8</v>
      </c>
      <c r="D26" s="2" t="s">
        <v>12</v>
      </c>
      <c r="E26" s="2">
        <f t="shared" si="0"/>
        <v>1</v>
      </c>
      <c r="F26" s="2" t="str">
        <f>VLOOKUP(AttendanceT[[#This Row],[Student]],StudentDirectory[#All],2,FALSE)</f>
        <v>ayesha@example.com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">
      <c r="A27" s="2" t="s">
        <v>17</v>
      </c>
      <c r="B27" s="2" t="s">
        <v>15</v>
      </c>
      <c r="C27" s="2" t="s">
        <v>8</v>
      </c>
      <c r="D27" s="2" t="s">
        <v>16</v>
      </c>
      <c r="E27" s="2">
        <f t="shared" si="0"/>
        <v>1</v>
      </c>
      <c r="F27" s="2" t="str">
        <f>VLOOKUP(AttendanceT[[#This Row],[Student]],StudentDirectory[#All],2,FALSE)</f>
        <v>ayesha@example.com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">
      <c r="A28" s="2" t="s">
        <v>17</v>
      </c>
      <c r="B28" s="2" t="s">
        <v>19</v>
      </c>
      <c r="C28" s="2" t="s">
        <v>8</v>
      </c>
      <c r="D28" s="2" t="s">
        <v>20</v>
      </c>
      <c r="E28" s="2">
        <f t="shared" si="0"/>
        <v>1</v>
      </c>
      <c r="F28" s="2" t="str">
        <f>VLOOKUP(AttendanceT[[#This Row],[Student]],StudentDirectory[#All],2,FALSE)</f>
        <v>ayesha@example.com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">
      <c r="A29" s="2" t="s">
        <v>17</v>
      </c>
      <c r="B29" s="2" t="s">
        <v>23</v>
      </c>
      <c r="C29" s="2" t="s">
        <v>8</v>
      </c>
      <c r="D29" s="2" t="s">
        <v>24</v>
      </c>
      <c r="E29" s="2">
        <f t="shared" si="0"/>
        <v>1</v>
      </c>
      <c r="F29" s="2" t="str">
        <f>VLOOKUP(AttendanceT[[#This Row],[Student]],StudentDirectory[#All],2,FALSE)</f>
        <v>ayesha@example.com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">
      <c r="A30" s="2" t="s">
        <v>17</v>
      </c>
      <c r="B30" s="2" t="s">
        <v>25</v>
      </c>
      <c r="C30" s="2" t="s">
        <v>8</v>
      </c>
      <c r="D30" s="2" t="s">
        <v>9</v>
      </c>
      <c r="E30" s="2">
        <f t="shared" si="0"/>
        <v>1</v>
      </c>
      <c r="F30" s="2" t="str">
        <f>VLOOKUP(AttendanceT[[#This Row],[Student]],StudentDirectory[#All],2,FALSE)</f>
        <v>ayesha@example.com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3">
      <c r="A31" s="2" t="s">
        <v>17</v>
      </c>
      <c r="B31" s="2" t="s">
        <v>26</v>
      </c>
      <c r="C31" s="2" t="s">
        <v>27</v>
      </c>
      <c r="D31" s="2" t="s">
        <v>12</v>
      </c>
      <c r="E31" s="2">
        <f t="shared" si="0"/>
        <v>0</v>
      </c>
      <c r="F31" s="2" t="str">
        <f>VLOOKUP(AttendanceT[[#This Row],[Student]],StudentDirectory[#All],2,FALSE)</f>
        <v>ayesha@example.com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">
      <c r="A32" s="2" t="s">
        <v>17</v>
      </c>
      <c r="B32" s="2" t="s">
        <v>28</v>
      </c>
      <c r="C32" s="2" t="s">
        <v>8</v>
      </c>
      <c r="D32" s="2" t="s">
        <v>16</v>
      </c>
      <c r="E32" s="2">
        <f t="shared" si="0"/>
        <v>1</v>
      </c>
      <c r="F32" s="2" t="str">
        <f>VLOOKUP(AttendanceT[[#This Row],[Student]],StudentDirectory[#All],2,FALSE)</f>
        <v>ayesha@example.com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3">
      <c r="A33" s="2" t="s">
        <v>17</v>
      </c>
      <c r="B33" s="2" t="s">
        <v>29</v>
      </c>
      <c r="C33" s="2" t="s">
        <v>8</v>
      </c>
      <c r="D33" s="2" t="s">
        <v>20</v>
      </c>
      <c r="E33" s="2">
        <f t="shared" si="0"/>
        <v>1</v>
      </c>
      <c r="F33" s="2" t="str">
        <f>VLOOKUP(AttendanceT[[#This Row],[Student]],StudentDirectory[#All],2,FALSE)</f>
        <v>ayesha@example.com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">
      <c r="A34" s="2" t="s">
        <v>17</v>
      </c>
      <c r="B34" s="2" t="s">
        <v>30</v>
      </c>
      <c r="C34" s="2" t="s">
        <v>8</v>
      </c>
      <c r="D34" s="2" t="s">
        <v>24</v>
      </c>
      <c r="E34" s="2">
        <f t="shared" si="0"/>
        <v>1</v>
      </c>
      <c r="F34" s="2" t="str">
        <f>VLOOKUP(AttendanceT[[#This Row],[Student]],StudentDirectory[#All],2,FALSE)</f>
        <v>ayesha@example.com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">
      <c r="A35" s="2" t="s">
        <v>17</v>
      </c>
      <c r="B35" s="2" t="s">
        <v>31</v>
      </c>
      <c r="C35" s="2" t="s">
        <v>8</v>
      </c>
      <c r="D35" s="2" t="s">
        <v>9</v>
      </c>
      <c r="E35" s="2">
        <f t="shared" si="0"/>
        <v>1</v>
      </c>
      <c r="F35" s="2" t="str">
        <f>VLOOKUP(AttendanceT[[#This Row],[Student]],StudentDirectory[#All],2,FALSE)</f>
        <v>ayesha@example.com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">
      <c r="A36" s="2" t="s">
        <v>17</v>
      </c>
      <c r="B36" s="2" t="s">
        <v>32</v>
      </c>
      <c r="C36" s="2" t="s">
        <v>8</v>
      </c>
      <c r="D36" s="2" t="s">
        <v>12</v>
      </c>
      <c r="E36" s="2">
        <f t="shared" si="0"/>
        <v>1</v>
      </c>
      <c r="F36" s="2" t="str">
        <f>VLOOKUP(AttendanceT[[#This Row],[Student]],StudentDirectory[#All],2,FALSE)</f>
        <v>ayesha@example.com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3">
      <c r="A37" s="2" t="s">
        <v>17</v>
      </c>
      <c r="B37" s="2" t="s">
        <v>33</v>
      </c>
      <c r="C37" s="2" t="s">
        <v>8</v>
      </c>
      <c r="D37" s="2" t="s">
        <v>16</v>
      </c>
      <c r="E37" s="2">
        <f t="shared" si="0"/>
        <v>1</v>
      </c>
      <c r="F37" s="2" t="str">
        <f>VLOOKUP(AttendanceT[[#This Row],[Student]],StudentDirectory[#All],2,FALSE)</f>
        <v>ayesha@example.com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3">
      <c r="A38" s="2" t="s">
        <v>17</v>
      </c>
      <c r="B38" s="2" t="s">
        <v>34</v>
      </c>
      <c r="C38" s="2" t="s">
        <v>27</v>
      </c>
      <c r="D38" s="2" t="s">
        <v>20</v>
      </c>
      <c r="E38" s="2">
        <f t="shared" si="0"/>
        <v>0</v>
      </c>
      <c r="F38" s="2" t="str">
        <f>VLOOKUP(AttendanceT[[#This Row],[Student]],StudentDirectory[#All],2,FALSE)</f>
        <v>ayesha@example.com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3">
      <c r="A39" s="2" t="s">
        <v>17</v>
      </c>
      <c r="B39" s="2" t="s">
        <v>35</v>
      </c>
      <c r="C39" s="2" t="s">
        <v>8</v>
      </c>
      <c r="D39" s="2" t="s">
        <v>24</v>
      </c>
      <c r="E39" s="2">
        <f t="shared" si="0"/>
        <v>1</v>
      </c>
      <c r="F39" s="2" t="str">
        <f>VLOOKUP(AttendanceT[[#This Row],[Student]],StudentDirectory[#All],2,FALSE)</f>
        <v>ayesha@example.com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3">
      <c r="A40" s="2" t="s">
        <v>17</v>
      </c>
      <c r="B40" s="2" t="s">
        <v>36</v>
      </c>
      <c r="C40" s="2" t="s">
        <v>8</v>
      </c>
      <c r="D40" s="2" t="s">
        <v>9</v>
      </c>
      <c r="E40" s="2">
        <f t="shared" si="0"/>
        <v>1</v>
      </c>
      <c r="F40" s="2" t="str">
        <f>VLOOKUP(AttendanceT[[#This Row],[Student]],StudentDirectory[#All],2,FALSE)</f>
        <v>ayesha@example.com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3">
      <c r="A41" s="2" t="s">
        <v>17</v>
      </c>
      <c r="B41" s="2" t="s">
        <v>37</v>
      </c>
      <c r="C41" s="2" t="s">
        <v>8</v>
      </c>
      <c r="D41" s="2" t="s">
        <v>12</v>
      </c>
      <c r="E41" s="2">
        <f t="shared" si="0"/>
        <v>1</v>
      </c>
      <c r="F41" s="2" t="str">
        <f>VLOOKUP(AttendanceT[[#This Row],[Student]],StudentDirectory[#All],2,FALSE)</f>
        <v>ayesha@example.com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3">
      <c r="A42" s="2" t="s">
        <v>17</v>
      </c>
      <c r="B42" s="2" t="s">
        <v>38</v>
      </c>
      <c r="C42" s="2" t="s">
        <v>8</v>
      </c>
      <c r="D42" s="2" t="s">
        <v>16</v>
      </c>
      <c r="E42" s="2">
        <f t="shared" si="0"/>
        <v>1</v>
      </c>
      <c r="F42" s="2" t="str">
        <f>VLOOKUP(AttendanceT[[#This Row],[Student]],StudentDirectory[#All],2,FALSE)</f>
        <v>ayesha@example.com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3">
      <c r="A43" s="2" t="s">
        <v>17</v>
      </c>
      <c r="B43" s="2" t="s">
        <v>39</v>
      </c>
      <c r="C43" s="2" t="s">
        <v>27</v>
      </c>
      <c r="D43" s="2" t="s">
        <v>20</v>
      </c>
      <c r="E43" s="2">
        <f t="shared" si="0"/>
        <v>0</v>
      </c>
      <c r="F43" s="2" t="str">
        <f>VLOOKUP(AttendanceT[[#This Row],[Student]],StudentDirectory[#All],2,FALSE)</f>
        <v>ayesha@example.com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3">
      <c r="A44" s="2" t="s">
        <v>17</v>
      </c>
      <c r="B44" s="2" t="s">
        <v>40</v>
      </c>
      <c r="C44" s="2" t="s">
        <v>8</v>
      </c>
      <c r="D44" s="2" t="s">
        <v>24</v>
      </c>
      <c r="E44" s="2">
        <f t="shared" si="0"/>
        <v>1</v>
      </c>
      <c r="F44" s="2" t="str">
        <f>VLOOKUP(AttendanceT[[#This Row],[Student]],StudentDirectory[#All],2,FALSE)</f>
        <v>ayesha@example.com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3">
      <c r="A45" s="2" t="s">
        <v>17</v>
      </c>
      <c r="B45" s="2" t="s">
        <v>41</v>
      </c>
      <c r="C45" s="2" t="s">
        <v>8</v>
      </c>
      <c r="D45" s="2" t="s">
        <v>9</v>
      </c>
      <c r="E45" s="2">
        <f t="shared" si="0"/>
        <v>1</v>
      </c>
      <c r="F45" s="2" t="str">
        <f>VLOOKUP(AttendanceT[[#This Row],[Student]],StudentDirectory[#All],2,FALSE)</f>
        <v>ayesha@example.com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3">
      <c r="A46" s="2" t="s">
        <v>17</v>
      </c>
      <c r="B46" s="2" t="s">
        <v>42</v>
      </c>
      <c r="C46" s="2" t="s">
        <v>8</v>
      </c>
      <c r="D46" s="2" t="s">
        <v>12</v>
      </c>
      <c r="E46" s="2">
        <f t="shared" si="0"/>
        <v>1</v>
      </c>
      <c r="F46" s="2" t="str">
        <f>VLOOKUP(AttendanceT[[#This Row],[Student]],StudentDirectory[#All],2,FALSE)</f>
        <v>ayesha@example.com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3">
      <c r="A47" s="2" t="s">
        <v>17</v>
      </c>
      <c r="B47" s="2" t="s">
        <v>43</v>
      </c>
      <c r="C47" s="2" t="s">
        <v>8</v>
      </c>
      <c r="D47" s="2" t="s">
        <v>16</v>
      </c>
      <c r="E47" s="2">
        <f t="shared" si="0"/>
        <v>1</v>
      </c>
      <c r="F47" s="2" t="str">
        <f>VLOOKUP(AttendanceT[[#This Row],[Student]],StudentDirectory[#All],2,FALSE)</f>
        <v>ayesha@example.com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3">
      <c r="A48" s="2" t="s">
        <v>21</v>
      </c>
      <c r="B48" s="2" t="s">
        <v>7</v>
      </c>
      <c r="C48" s="2" t="s">
        <v>8</v>
      </c>
      <c r="D48" s="2" t="s">
        <v>9</v>
      </c>
      <c r="E48" s="2">
        <f t="shared" si="0"/>
        <v>1</v>
      </c>
      <c r="F48" s="2" t="str">
        <f>VLOOKUP(AttendanceT[[#This Row],[Student]],StudentDirectory[#All],2,FALSE)</f>
        <v>meera@example.com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3">
      <c r="A49" s="2" t="s">
        <v>21</v>
      </c>
      <c r="B49" s="2" t="s">
        <v>11</v>
      </c>
      <c r="C49" s="2" t="s">
        <v>8</v>
      </c>
      <c r="D49" s="2" t="s">
        <v>12</v>
      </c>
      <c r="E49" s="2">
        <f t="shared" si="0"/>
        <v>1</v>
      </c>
      <c r="F49" s="2" t="str">
        <f>VLOOKUP(AttendanceT[[#This Row],[Student]],StudentDirectory[#All],2,FALSE)</f>
        <v>meera@example.com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">
      <c r="A50" s="2" t="s">
        <v>21</v>
      </c>
      <c r="B50" s="2" t="s">
        <v>15</v>
      </c>
      <c r="C50" s="2" t="s">
        <v>8</v>
      </c>
      <c r="D50" s="2" t="s">
        <v>16</v>
      </c>
      <c r="E50" s="2">
        <f t="shared" si="0"/>
        <v>1</v>
      </c>
      <c r="F50" s="2" t="str">
        <f>VLOOKUP(AttendanceT[[#This Row],[Student]],StudentDirectory[#All],2,FALSE)</f>
        <v>meera@example.com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3">
      <c r="A51" s="2" t="s">
        <v>21</v>
      </c>
      <c r="B51" s="2" t="s">
        <v>19</v>
      </c>
      <c r="C51" s="2" t="s">
        <v>8</v>
      </c>
      <c r="D51" s="2" t="s">
        <v>20</v>
      </c>
      <c r="E51" s="2">
        <f t="shared" si="0"/>
        <v>1</v>
      </c>
      <c r="F51" s="2" t="str">
        <f>VLOOKUP(AttendanceT[[#This Row],[Student]],StudentDirectory[#All],2,FALSE)</f>
        <v>meera@example.com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3">
      <c r="A52" s="2" t="s">
        <v>21</v>
      </c>
      <c r="B52" s="2" t="s">
        <v>23</v>
      </c>
      <c r="C52" s="2" t="s">
        <v>8</v>
      </c>
      <c r="D52" s="2" t="s">
        <v>24</v>
      </c>
      <c r="E52" s="2">
        <f t="shared" si="0"/>
        <v>1</v>
      </c>
      <c r="F52" s="2" t="str">
        <f>VLOOKUP(AttendanceT[[#This Row],[Student]],StudentDirectory[#All],2,FALSE)</f>
        <v>meera@example.com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3">
      <c r="A53" s="2" t="s">
        <v>21</v>
      </c>
      <c r="B53" s="2" t="s">
        <v>25</v>
      </c>
      <c r="C53" s="2" t="s">
        <v>8</v>
      </c>
      <c r="D53" s="2" t="s">
        <v>9</v>
      </c>
      <c r="E53" s="2">
        <f t="shared" si="0"/>
        <v>1</v>
      </c>
      <c r="F53" s="2" t="str">
        <f>VLOOKUP(AttendanceT[[#This Row],[Student]],StudentDirectory[#All],2,FALSE)</f>
        <v>meera@example.com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3">
      <c r="A54" s="2" t="s">
        <v>21</v>
      </c>
      <c r="B54" s="2" t="s">
        <v>26</v>
      </c>
      <c r="C54" s="2" t="s">
        <v>8</v>
      </c>
      <c r="D54" s="2" t="s">
        <v>12</v>
      </c>
      <c r="E54" s="2">
        <f t="shared" si="0"/>
        <v>1</v>
      </c>
      <c r="F54" s="2" t="str">
        <f>VLOOKUP(AttendanceT[[#This Row],[Student]],StudentDirectory[#All],2,FALSE)</f>
        <v>meera@example.com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3">
      <c r="A55" s="2" t="s">
        <v>21</v>
      </c>
      <c r="B55" s="2" t="s">
        <v>28</v>
      </c>
      <c r="C55" s="2" t="s">
        <v>8</v>
      </c>
      <c r="D55" s="2" t="s">
        <v>16</v>
      </c>
      <c r="E55" s="2">
        <f t="shared" si="0"/>
        <v>1</v>
      </c>
      <c r="F55" s="2" t="str">
        <f>VLOOKUP(AttendanceT[[#This Row],[Student]],StudentDirectory[#All],2,FALSE)</f>
        <v>meera@example.com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3">
      <c r="A56" s="2" t="s">
        <v>21</v>
      </c>
      <c r="B56" s="2" t="s">
        <v>29</v>
      </c>
      <c r="C56" s="2" t="s">
        <v>8</v>
      </c>
      <c r="D56" s="2" t="s">
        <v>20</v>
      </c>
      <c r="E56" s="2">
        <f t="shared" si="0"/>
        <v>1</v>
      </c>
      <c r="F56" s="2" t="str">
        <f>VLOOKUP(AttendanceT[[#This Row],[Student]],StudentDirectory[#All],2,FALSE)</f>
        <v>meera@example.com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3">
      <c r="A57" s="2" t="s">
        <v>21</v>
      </c>
      <c r="B57" s="2" t="s">
        <v>30</v>
      </c>
      <c r="C57" s="2" t="s">
        <v>8</v>
      </c>
      <c r="D57" s="2" t="s">
        <v>24</v>
      </c>
      <c r="E57" s="2">
        <f t="shared" si="0"/>
        <v>1</v>
      </c>
      <c r="F57" s="2" t="str">
        <f>VLOOKUP(AttendanceT[[#This Row],[Student]],StudentDirectory[#All],2,FALSE)</f>
        <v>meera@example.com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3">
      <c r="A58" s="2" t="s">
        <v>21</v>
      </c>
      <c r="B58" s="2" t="s">
        <v>31</v>
      </c>
      <c r="C58" s="2" t="s">
        <v>8</v>
      </c>
      <c r="D58" s="2" t="s">
        <v>9</v>
      </c>
      <c r="E58" s="2">
        <f t="shared" si="0"/>
        <v>1</v>
      </c>
      <c r="F58" s="2" t="str">
        <f>VLOOKUP(AttendanceT[[#This Row],[Student]],StudentDirectory[#All],2,FALSE)</f>
        <v>meera@example.com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3">
      <c r="A59" s="2" t="s">
        <v>21</v>
      </c>
      <c r="B59" s="2" t="s">
        <v>32</v>
      </c>
      <c r="C59" s="2" t="s">
        <v>8</v>
      </c>
      <c r="D59" s="2" t="s">
        <v>12</v>
      </c>
      <c r="E59" s="2">
        <f t="shared" si="0"/>
        <v>1</v>
      </c>
      <c r="F59" s="2" t="str">
        <f>VLOOKUP(AttendanceT[[#This Row],[Student]],StudentDirectory[#All],2,FALSE)</f>
        <v>meera@example.com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3">
      <c r="A60" s="2" t="s">
        <v>21</v>
      </c>
      <c r="B60" s="2" t="s">
        <v>33</v>
      </c>
      <c r="C60" s="2" t="s">
        <v>8</v>
      </c>
      <c r="D60" s="2" t="s">
        <v>16</v>
      </c>
      <c r="E60" s="2">
        <f t="shared" si="0"/>
        <v>1</v>
      </c>
      <c r="F60" s="2" t="str">
        <f>VLOOKUP(AttendanceT[[#This Row],[Student]],StudentDirectory[#All],2,FALSE)</f>
        <v>meera@example.com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3">
      <c r="A61" s="2" t="s">
        <v>21</v>
      </c>
      <c r="B61" s="2" t="s">
        <v>34</v>
      </c>
      <c r="C61" s="2" t="s">
        <v>8</v>
      </c>
      <c r="D61" s="2" t="s">
        <v>20</v>
      </c>
      <c r="E61" s="2">
        <f t="shared" si="0"/>
        <v>1</v>
      </c>
      <c r="F61" s="2" t="str">
        <f>VLOOKUP(AttendanceT[[#This Row],[Student]],StudentDirectory[#All],2,FALSE)</f>
        <v>meera@example.com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3">
      <c r="A62" s="2" t="s">
        <v>21</v>
      </c>
      <c r="B62" s="2" t="s">
        <v>35</v>
      </c>
      <c r="C62" s="2" t="s">
        <v>8</v>
      </c>
      <c r="D62" s="2" t="s">
        <v>24</v>
      </c>
      <c r="E62" s="2">
        <f t="shared" si="0"/>
        <v>1</v>
      </c>
      <c r="F62" s="2" t="str">
        <f>VLOOKUP(AttendanceT[[#This Row],[Student]],StudentDirectory[#All],2,FALSE)</f>
        <v>meera@example.com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3">
      <c r="A63" s="2" t="s">
        <v>21</v>
      </c>
      <c r="B63" s="2" t="s">
        <v>36</v>
      </c>
      <c r="C63" s="2" t="s">
        <v>8</v>
      </c>
      <c r="D63" s="2" t="s">
        <v>9</v>
      </c>
      <c r="E63" s="2">
        <f t="shared" si="0"/>
        <v>1</v>
      </c>
      <c r="F63" s="2" t="str">
        <f>VLOOKUP(AttendanceT[[#This Row],[Student]],StudentDirectory[#All],2,FALSE)</f>
        <v>meera@example.com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3">
      <c r="A64" s="2" t="s">
        <v>21</v>
      </c>
      <c r="B64" s="2" t="s">
        <v>37</v>
      </c>
      <c r="C64" s="2" t="s">
        <v>8</v>
      </c>
      <c r="D64" s="2" t="s">
        <v>12</v>
      </c>
      <c r="E64" s="2">
        <f t="shared" si="0"/>
        <v>1</v>
      </c>
      <c r="F64" s="2" t="str">
        <f>VLOOKUP(AttendanceT[[#This Row],[Student]],StudentDirectory[#All],2,FALSE)</f>
        <v>meera@example.com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3">
      <c r="A65" s="2" t="s">
        <v>21</v>
      </c>
      <c r="B65" s="2" t="s">
        <v>38</v>
      </c>
      <c r="C65" s="2" t="s">
        <v>8</v>
      </c>
      <c r="D65" s="2" t="s">
        <v>16</v>
      </c>
      <c r="E65" s="2">
        <f t="shared" si="0"/>
        <v>1</v>
      </c>
      <c r="F65" s="2" t="str">
        <f>VLOOKUP(AttendanceT[[#This Row],[Student]],StudentDirectory[#All],2,FALSE)</f>
        <v>meera@example.com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3">
      <c r="A66" s="2" t="s">
        <v>21</v>
      </c>
      <c r="B66" s="2" t="s">
        <v>39</v>
      </c>
      <c r="C66" s="2" t="s">
        <v>27</v>
      </c>
      <c r="D66" s="2" t="s">
        <v>20</v>
      </c>
      <c r="E66" s="2">
        <f t="shared" ref="E66:E93" si="1">IF(C66="Present",1,0)</f>
        <v>0</v>
      </c>
      <c r="F66" s="2" t="str">
        <f>VLOOKUP(AttendanceT[[#This Row],[Student]],StudentDirectory[#All],2,FALSE)</f>
        <v>meera@example.com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3">
      <c r="A67" s="2" t="s">
        <v>21</v>
      </c>
      <c r="B67" s="2" t="s">
        <v>40</v>
      </c>
      <c r="C67" s="2" t="s">
        <v>8</v>
      </c>
      <c r="D67" s="2" t="s">
        <v>24</v>
      </c>
      <c r="E67" s="2">
        <f t="shared" si="1"/>
        <v>1</v>
      </c>
      <c r="F67" s="2" t="str">
        <f>VLOOKUP(AttendanceT[[#This Row],[Student]],StudentDirectory[#All],2,FALSE)</f>
        <v>meera@example.com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3">
      <c r="A68" s="2" t="s">
        <v>21</v>
      </c>
      <c r="B68" s="2" t="s">
        <v>41</v>
      </c>
      <c r="C68" s="2" t="s">
        <v>8</v>
      </c>
      <c r="D68" s="2" t="s">
        <v>9</v>
      </c>
      <c r="E68" s="2">
        <f t="shared" si="1"/>
        <v>1</v>
      </c>
      <c r="F68" s="2" t="str">
        <f>VLOOKUP(AttendanceT[[#This Row],[Student]],StudentDirectory[#All],2,FALSE)</f>
        <v>meera@example.com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3">
      <c r="A69" s="2" t="s">
        <v>21</v>
      </c>
      <c r="B69" s="2" t="s">
        <v>42</v>
      </c>
      <c r="C69" s="2" t="s">
        <v>8</v>
      </c>
      <c r="D69" s="2" t="s">
        <v>12</v>
      </c>
      <c r="E69" s="2">
        <f t="shared" si="1"/>
        <v>1</v>
      </c>
      <c r="F69" s="2" t="str">
        <f>VLOOKUP(AttendanceT[[#This Row],[Student]],StudentDirectory[#All],2,FALSE)</f>
        <v>meera@example.com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3">
      <c r="A70" s="2" t="s">
        <v>21</v>
      </c>
      <c r="B70" s="2" t="s">
        <v>43</v>
      </c>
      <c r="C70" s="2" t="s">
        <v>8</v>
      </c>
      <c r="D70" s="2" t="s">
        <v>16</v>
      </c>
      <c r="E70" s="2">
        <f t="shared" si="1"/>
        <v>1</v>
      </c>
      <c r="F70" s="2" t="str">
        <f>VLOOKUP(AttendanceT[[#This Row],[Student]],StudentDirectory[#All],2,FALSE)</f>
        <v>meera@example.com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3">
      <c r="A71" s="2" t="s">
        <v>13</v>
      </c>
      <c r="B71" s="2" t="s">
        <v>7</v>
      </c>
      <c r="C71" s="2" t="s">
        <v>8</v>
      </c>
      <c r="D71" s="2" t="s">
        <v>9</v>
      </c>
      <c r="E71" s="2">
        <f t="shared" si="1"/>
        <v>1</v>
      </c>
      <c r="F71" s="2" t="str">
        <f>VLOOKUP(AttendanceT[[#This Row],[Student]],StudentDirectory[#All],2,FALSE)</f>
        <v>rohit@example.com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3">
      <c r="A72" s="2" t="s">
        <v>13</v>
      </c>
      <c r="B72" s="2" t="s">
        <v>11</v>
      </c>
      <c r="C72" s="2" t="s">
        <v>8</v>
      </c>
      <c r="D72" s="2" t="s">
        <v>12</v>
      </c>
      <c r="E72" s="2">
        <f t="shared" si="1"/>
        <v>1</v>
      </c>
      <c r="F72" s="2" t="str">
        <f>VLOOKUP(AttendanceT[[#This Row],[Student]],StudentDirectory[#All],2,FALSE)</f>
        <v>rohit@example.com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3">
      <c r="A73" s="2" t="s">
        <v>13</v>
      </c>
      <c r="B73" s="2" t="s">
        <v>15</v>
      </c>
      <c r="C73" s="2" t="s">
        <v>8</v>
      </c>
      <c r="D73" s="2" t="s">
        <v>16</v>
      </c>
      <c r="E73" s="2">
        <f t="shared" si="1"/>
        <v>1</v>
      </c>
      <c r="F73" s="2" t="str">
        <f>VLOOKUP(AttendanceT[[#This Row],[Student]],StudentDirectory[#All],2,FALSE)</f>
        <v>rohit@example.com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3">
      <c r="A74" s="2" t="s">
        <v>13</v>
      </c>
      <c r="B74" s="2" t="s">
        <v>19</v>
      </c>
      <c r="C74" s="2" t="s">
        <v>8</v>
      </c>
      <c r="D74" s="2" t="s">
        <v>20</v>
      </c>
      <c r="E74" s="2">
        <f t="shared" si="1"/>
        <v>1</v>
      </c>
      <c r="F74" s="2" t="str">
        <f>VLOOKUP(AttendanceT[[#This Row],[Student]],StudentDirectory[#All],2,FALSE)</f>
        <v>rohit@example.com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3">
      <c r="A75" s="2" t="s">
        <v>13</v>
      </c>
      <c r="B75" s="2" t="s">
        <v>23</v>
      </c>
      <c r="C75" s="2" t="s">
        <v>8</v>
      </c>
      <c r="D75" s="2" t="s">
        <v>24</v>
      </c>
      <c r="E75" s="2">
        <f t="shared" si="1"/>
        <v>1</v>
      </c>
      <c r="F75" s="2" t="str">
        <f>VLOOKUP(AttendanceT[[#This Row],[Student]],StudentDirectory[#All],2,FALSE)</f>
        <v>rohit@example.com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3">
      <c r="A76" s="2" t="s">
        <v>13</v>
      </c>
      <c r="B76" s="2" t="s">
        <v>25</v>
      </c>
      <c r="C76" s="2" t="s">
        <v>8</v>
      </c>
      <c r="D76" s="2" t="s">
        <v>9</v>
      </c>
      <c r="E76" s="2">
        <f t="shared" si="1"/>
        <v>1</v>
      </c>
      <c r="F76" s="2" t="str">
        <f>VLOOKUP(AttendanceT[[#This Row],[Student]],StudentDirectory[#All],2,FALSE)</f>
        <v>rohit@example.com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3">
      <c r="A77" s="2" t="s">
        <v>13</v>
      </c>
      <c r="B77" s="2" t="s">
        <v>26</v>
      </c>
      <c r="C77" s="2" t="s">
        <v>8</v>
      </c>
      <c r="D77" s="2" t="s">
        <v>12</v>
      </c>
      <c r="E77" s="2">
        <f t="shared" si="1"/>
        <v>1</v>
      </c>
      <c r="F77" s="2" t="str">
        <f>VLOOKUP(AttendanceT[[#This Row],[Student]],StudentDirectory[#All],2,FALSE)</f>
        <v>rohit@example.com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3">
      <c r="A78" s="2" t="s">
        <v>13</v>
      </c>
      <c r="B78" s="2" t="s">
        <v>28</v>
      </c>
      <c r="C78" s="2" t="s">
        <v>8</v>
      </c>
      <c r="D78" s="2" t="s">
        <v>16</v>
      </c>
      <c r="E78" s="2">
        <f t="shared" si="1"/>
        <v>1</v>
      </c>
      <c r="F78" s="2" t="str">
        <f>VLOOKUP(AttendanceT[[#This Row],[Student]],StudentDirectory[#All],2,FALSE)</f>
        <v>rohit@example.com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3">
      <c r="A79" s="2" t="s">
        <v>13</v>
      </c>
      <c r="B79" s="2" t="s">
        <v>29</v>
      </c>
      <c r="C79" s="2" t="s">
        <v>8</v>
      </c>
      <c r="D79" s="2" t="s">
        <v>20</v>
      </c>
      <c r="E79" s="2">
        <f t="shared" si="1"/>
        <v>1</v>
      </c>
      <c r="F79" s="2" t="str">
        <f>VLOOKUP(AttendanceT[[#This Row],[Student]],StudentDirectory[#All],2,FALSE)</f>
        <v>rohit@example.com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3">
      <c r="A80" s="2" t="s">
        <v>13</v>
      </c>
      <c r="B80" s="2" t="s">
        <v>30</v>
      </c>
      <c r="C80" s="2" t="s">
        <v>8</v>
      </c>
      <c r="D80" s="2" t="s">
        <v>24</v>
      </c>
      <c r="E80" s="2">
        <f t="shared" si="1"/>
        <v>1</v>
      </c>
      <c r="F80" s="2" t="str">
        <f>VLOOKUP(AttendanceT[[#This Row],[Student]],StudentDirectory[#All],2,FALSE)</f>
        <v>rohit@example.com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3">
      <c r="A81" s="2" t="s">
        <v>13</v>
      </c>
      <c r="B81" s="2" t="s">
        <v>31</v>
      </c>
      <c r="C81" s="2" t="s">
        <v>8</v>
      </c>
      <c r="D81" s="2" t="s">
        <v>9</v>
      </c>
      <c r="E81" s="2">
        <f t="shared" si="1"/>
        <v>1</v>
      </c>
      <c r="F81" s="2" t="str">
        <f>VLOOKUP(AttendanceT[[#This Row],[Student]],StudentDirectory[#All],2,FALSE)</f>
        <v>rohit@example.com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3">
      <c r="A82" s="2" t="s">
        <v>13</v>
      </c>
      <c r="B82" s="2" t="s">
        <v>32</v>
      </c>
      <c r="C82" s="2" t="s">
        <v>8</v>
      </c>
      <c r="D82" s="2" t="s">
        <v>12</v>
      </c>
      <c r="E82" s="2">
        <f t="shared" si="1"/>
        <v>1</v>
      </c>
      <c r="F82" s="2" t="str">
        <f>VLOOKUP(AttendanceT[[#This Row],[Student]],StudentDirectory[#All],2,FALSE)</f>
        <v>rohit@example.com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3">
      <c r="A83" s="2" t="s">
        <v>13</v>
      </c>
      <c r="B83" s="2" t="s">
        <v>33</v>
      </c>
      <c r="C83" s="2" t="s">
        <v>8</v>
      </c>
      <c r="D83" s="2" t="s">
        <v>16</v>
      </c>
      <c r="E83" s="2">
        <f t="shared" si="1"/>
        <v>1</v>
      </c>
      <c r="F83" s="2" t="str">
        <f>VLOOKUP(AttendanceT[[#This Row],[Student]],StudentDirectory[#All],2,FALSE)</f>
        <v>rohit@example.com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3">
      <c r="A84" s="2" t="s">
        <v>13</v>
      </c>
      <c r="B84" s="2" t="s">
        <v>34</v>
      </c>
      <c r="C84" s="2" t="s">
        <v>8</v>
      </c>
      <c r="D84" s="2" t="s">
        <v>20</v>
      </c>
      <c r="E84" s="2">
        <f t="shared" si="1"/>
        <v>1</v>
      </c>
      <c r="F84" s="2" t="str">
        <f>VLOOKUP(AttendanceT[[#This Row],[Student]],StudentDirectory[#All],2,FALSE)</f>
        <v>rohit@example.com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3">
      <c r="A85" s="2" t="s">
        <v>13</v>
      </c>
      <c r="B85" s="2" t="s">
        <v>35</v>
      </c>
      <c r="C85" s="2" t="s">
        <v>8</v>
      </c>
      <c r="D85" s="2" t="s">
        <v>24</v>
      </c>
      <c r="E85" s="2">
        <f t="shared" si="1"/>
        <v>1</v>
      </c>
      <c r="F85" s="2" t="str">
        <f>VLOOKUP(AttendanceT[[#This Row],[Student]],StudentDirectory[#All],2,FALSE)</f>
        <v>rohit@example.com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3">
      <c r="A86" s="2" t="s">
        <v>13</v>
      </c>
      <c r="B86" s="2" t="s">
        <v>36</v>
      </c>
      <c r="C86" s="2" t="s">
        <v>8</v>
      </c>
      <c r="D86" s="2" t="s">
        <v>9</v>
      </c>
      <c r="E86" s="2">
        <f t="shared" si="1"/>
        <v>1</v>
      </c>
      <c r="F86" s="2" t="str">
        <f>VLOOKUP(AttendanceT[[#This Row],[Student]],StudentDirectory[#All],2,FALSE)</f>
        <v>rohit@example.com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3">
      <c r="A87" s="2" t="s">
        <v>13</v>
      </c>
      <c r="B87" s="2" t="s">
        <v>37</v>
      </c>
      <c r="C87" s="2" t="s">
        <v>8</v>
      </c>
      <c r="D87" s="2" t="s">
        <v>12</v>
      </c>
      <c r="E87" s="2">
        <f t="shared" si="1"/>
        <v>1</v>
      </c>
      <c r="F87" s="2" t="str">
        <f>VLOOKUP(AttendanceT[[#This Row],[Student]],StudentDirectory[#All],2,FALSE)</f>
        <v>rohit@example.com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3">
      <c r="A88" s="2" t="s">
        <v>13</v>
      </c>
      <c r="B88" s="2" t="s">
        <v>38</v>
      </c>
      <c r="C88" s="2" t="s">
        <v>8</v>
      </c>
      <c r="D88" s="2" t="s">
        <v>16</v>
      </c>
      <c r="E88" s="2">
        <f t="shared" si="1"/>
        <v>1</v>
      </c>
      <c r="F88" s="2" t="str">
        <f>VLOOKUP(AttendanceT[[#This Row],[Student]],StudentDirectory[#All],2,FALSE)</f>
        <v>rohit@example.com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3">
      <c r="A89" s="2" t="s">
        <v>13</v>
      </c>
      <c r="B89" s="2" t="s">
        <v>39</v>
      </c>
      <c r="C89" s="2" t="s">
        <v>8</v>
      </c>
      <c r="D89" s="2" t="s">
        <v>20</v>
      </c>
      <c r="E89" s="2">
        <f t="shared" si="1"/>
        <v>1</v>
      </c>
      <c r="F89" s="2" t="str">
        <f>VLOOKUP(AttendanceT[[#This Row],[Student]],StudentDirectory[#All],2,FALSE)</f>
        <v>rohit@example.com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3">
      <c r="A90" s="2" t="s">
        <v>13</v>
      </c>
      <c r="B90" s="2" t="s">
        <v>40</v>
      </c>
      <c r="C90" s="2" t="s">
        <v>8</v>
      </c>
      <c r="D90" s="2" t="s">
        <v>24</v>
      </c>
      <c r="E90" s="2">
        <f t="shared" si="1"/>
        <v>1</v>
      </c>
      <c r="F90" s="2" t="str">
        <f>VLOOKUP(AttendanceT[[#This Row],[Student]],StudentDirectory[#All],2,FALSE)</f>
        <v>rohit@example.com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3">
      <c r="A91" s="2" t="s">
        <v>13</v>
      </c>
      <c r="B91" s="2" t="s">
        <v>41</v>
      </c>
      <c r="C91" s="2" t="s">
        <v>8</v>
      </c>
      <c r="D91" s="2" t="s">
        <v>9</v>
      </c>
      <c r="E91" s="2">
        <f t="shared" si="1"/>
        <v>1</v>
      </c>
      <c r="F91" s="2" t="str">
        <f>VLOOKUP(AttendanceT[[#This Row],[Student]],StudentDirectory[#All],2,FALSE)</f>
        <v>rohit@example.com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3">
      <c r="A92" s="2" t="s">
        <v>13</v>
      </c>
      <c r="B92" s="2" t="s">
        <v>42</v>
      </c>
      <c r="C92" s="2" t="s">
        <v>8</v>
      </c>
      <c r="D92" s="2" t="s">
        <v>12</v>
      </c>
      <c r="E92" s="2">
        <f t="shared" si="1"/>
        <v>1</v>
      </c>
      <c r="F92" s="2" t="str">
        <f>VLOOKUP(AttendanceT[[#This Row],[Student]],StudentDirectory[#All],2,FALSE)</f>
        <v>rohit@example.com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3">
      <c r="A93" s="2" t="s">
        <v>13</v>
      </c>
      <c r="B93" s="2" t="s">
        <v>43</v>
      </c>
      <c r="C93" s="2" t="s">
        <v>8</v>
      </c>
      <c r="D93" s="2" t="s">
        <v>16</v>
      </c>
      <c r="E93" s="2">
        <f t="shared" si="1"/>
        <v>1</v>
      </c>
      <c r="F93" s="2" t="str">
        <f>VLOOKUP(AttendanceT[[#This Row],[Student]],StudentDirectory[#All],2,FALSE)</f>
        <v>rohit@example.com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</sheetData>
  <hyperlinks>
    <hyperlink ref="I2" r:id="rId1" xr:uid="{C127FB7C-4E75-4584-8D01-E2270C78236C}"/>
    <hyperlink ref="I4" r:id="rId2" xr:uid="{CA3F5D13-C0B0-44BD-93E4-602D9AD48EB3}"/>
    <hyperlink ref="I5" r:id="rId3" xr:uid="{69BA9E6F-2247-4B84-A846-67E53F12BB36}"/>
  </hyperlinks>
  <pageMargins left="0.7" right="0.7" top="0.75" bottom="0.75" header="0.3" footer="0.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Verma</dc:creator>
  <cp:lastModifiedBy>Bharti Verma</cp:lastModifiedBy>
  <dcterms:created xsi:type="dcterms:W3CDTF">2026-06-02T08:49:25Z</dcterms:created>
  <dcterms:modified xsi:type="dcterms:W3CDTF">2026-06-02T08:56:34Z</dcterms:modified>
</cp:coreProperties>
</file>